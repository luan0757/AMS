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e de Mercadoria" sheetId="1" state="visible" r:id="rId1"/>
  </sheets>
  <definedNames>
    <definedName name="_xlnm._FilterDatabase" localSheetId="0" hidden="1">'Controle de Mercadoria'!$A$4:$H$20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2" customWidth="1" min="3" max="3"/>
    <col width="12" customWidth="1" min="4" max="4"/>
    <col width="15" customWidth="1" min="5" max="5"/>
    <col width="15" customWidth="1" min="6" max="6"/>
    <col width="18" customWidth="1" min="7" max="7"/>
    <col width="20" customWidth="1" min="8" max="8"/>
  </cols>
  <sheetData>
    <row r="1" ht="26" customHeight="1">
      <c r="A1" s="1" t="inlineStr">
        <is>
          <t>Controle de Mercadoria</t>
        </is>
      </c>
    </row>
    <row r="2">
      <c r="A2" s="2" t="inlineStr">
        <is>
          <t>Mês:</t>
        </is>
      </c>
      <c r="B2" s="2" t="inlineStr">
        <is>
          <t>MAIO</t>
        </is>
      </c>
    </row>
    <row r="4" ht="36" customHeight="1">
      <c r="A4" s="3" t="inlineStr">
        <is>
          <t>Mercadoria</t>
        </is>
      </c>
      <c r="B4" s="3" t="inlineStr">
        <is>
          <t>Preço de custo</t>
        </is>
      </c>
      <c r="C4" s="3" t="inlineStr">
        <is>
          <t>Estoque</t>
        </is>
      </c>
      <c r="D4" s="3" t="inlineStr">
        <is>
          <t>Venda</t>
        </is>
      </c>
      <c r="E4" s="3" t="inlineStr">
        <is>
          <t>Estoque final</t>
        </is>
      </c>
      <c r="F4" s="3" t="inlineStr">
        <is>
          <t>Vl. Venda</t>
        </is>
      </c>
      <c r="G4" s="3" t="inlineStr">
        <is>
          <t>Vl. Venda total</t>
        </is>
      </c>
      <c r="H4" s="3" t="inlineStr">
        <is>
          <t>Vl. Venda p/ Junho</t>
        </is>
      </c>
    </row>
    <row r="5">
      <c r="A5" s="4" t="inlineStr">
        <is>
          <t>lápis</t>
        </is>
      </c>
      <c r="B5" s="5" t="n">
        <v>0.11</v>
      </c>
      <c r="C5" s="6" t="n">
        <v>200</v>
      </c>
      <c r="D5" s="6" t="n">
        <v>123</v>
      </c>
      <c r="E5" s="6">
        <f>C5-D5</f>
        <v/>
      </c>
      <c r="F5" s="5">
        <f>B5*(1+$B$24)</f>
        <v/>
      </c>
      <c r="G5" s="5">
        <f>D5*F5</f>
        <v/>
      </c>
      <c r="H5" s="5">
        <f>F5*(1+$B$25)</f>
        <v/>
      </c>
    </row>
    <row r="6">
      <c r="A6" s="4" t="inlineStr">
        <is>
          <t>caneta</t>
        </is>
      </c>
      <c r="B6" s="5" t="n">
        <v>0.3</v>
      </c>
      <c r="C6" s="6" t="n">
        <v>300</v>
      </c>
      <c r="D6" s="6" t="n">
        <v>250</v>
      </c>
      <c r="E6" s="6">
        <f>C6-D6</f>
        <v/>
      </c>
      <c r="F6" s="5">
        <f>B6*(1+$B$24)</f>
        <v/>
      </c>
      <c r="G6" s="5">
        <f>D6*F6</f>
        <v/>
      </c>
      <c r="H6" s="5">
        <f>F6*(1+$B$25)</f>
        <v/>
      </c>
    </row>
    <row r="7">
      <c r="A7" s="4" t="inlineStr">
        <is>
          <t>lapiseira</t>
        </is>
      </c>
      <c r="B7" s="5" t="n">
        <v>0.75</v>
      </c>
      <c r="C7" s="6" t="n">
        <v>80</v>
      </c>
      <c r="D7" s="6" t="n">
        <v>40</v>
      </c>
      <c r="E7" s="6">
        <f>C7-D7</f>
        <v/>
      </c>
      <c r="F7" s="5">
        <f>B7*(1+$B$24)</f>
        <v/>
      </c>
      <c r="G7" s="5">
        <f>D7*F7</f>
        <v/>
      </c>
      <c r="H7" s="5">
        <f>F7*(1+$B$25)</f>
        <v/>
      </c>
    </row>
    <row r="8">
      <c r="A8" s="4" t="inlineStr">
        <is>
          <t>borracha simples</t>
        </is>
      </c>
      <c r="B8" s="5" t="n">
        <v>0.15</v>
      </c>
      <c r="C8" s="6" t="n">
        <v>500</v>
      </c>
      <c r="D8" s="6" t="n">
        <v>200</v>
      </c>
      <c r="E8" s="6">
        <f>C8-D8</f>
        <v/>
      </c>
      <c r="F8" s="5">
        <f>B8*(1+$B$24)</f>
        <v/>
      </c>
      <c r="G8" s="5">
        <f>D8*F8</f>
        <v/>
      </c>
      <c r="H8" s="5">
        <f>F8*(1+$B$25)</f>
        <v/>
      </c>
    </row>
    <row r="9">
      <c r="A9" s="4" t="inlineStr">
        <is>
          <t>borracha colorida</t>
        </is>
      </c>
      <c r="B9" s="5" t="n">
        <v>0.45</v>
      </c>
      <c r="C9" s="6" t="n">
        <v>100</v>
      </c>
      <c r="D9" s="6" t="n">
        <v>40</v>
      </c>
      <c r="E9" s="6">
        <f>C9-D9</f>
        <v/>
      </c>
      <c r="F9" s="5">
        <f>B9*(1+$B$24)</f>
        <v/>
      </c>
      <c r="G9" s="5">
        <f>D9*F9</f>
        <v/>
      </c>
      <c r="H9" s="5">
        <f>F9*(1+$B$25)</f>
        <v/>
      </c>
    </row>
    <row r="10">
      <c r="A10" s="4" t="inlineStr">
        <is>
          <t>régua</t>
        </is>
      </c>
      <c r="B10" s="5" t="n">
        <v>0.6</v>
      </c>
      <c r="C10" s="6" t="n">
        <v>300</v>
      </c>
      <c r="D10" s="6" t="n">
        <v>230</v>
      </c>
      <c r="E10" s="6">
        <f>C10-D10</f>
        <v/>
      </c>
      <c r="F10" s="5">
        <f>B10*(1+$B$24)</f>
        <v/>
      </c>
      <c r="G10" s="5">
        <f>D10*F10</f>
        <v/>
      </c>
      <c r="H10" s="5">
        <f>F10*(1+$B$25)</f>
        <v/>
      </c>
    </row>
    <row r="11">
      <c r="A11" s="4" t="inlineStr">
        <is>
          <t>compasso</t>
        </is>
      </c>
      <c r="B11" s="5" t="n">
        <v>1.56</v>
      </c>
      <c r="C11" s="6" t="n">
        <v>60</v>
      </c>
      <c r="D11" s="6" t="n">
        <v>15</v>
      </c>
      <c r="E11" s="6">
        <f>C11-D11</f>
        <v/>
      </c>
      <c r="F11" s="5">
        <f>B11*(1+$B$24)</f>
        <v/>
      </c>
      <c r="G11" s="5">
        <f>D11*F11</f>
        <v/>
      </c>
      <c r="H11" s="5">
        <f>F11*(1+$B$25)</f>
        <v/>
      </c>
    </row>
    <row r="12">
      <c r="A12" s="4" t="inlineStr">
        <is>
          <t>tesoura</t>
        </is>
      </c>
      <c r="B12" s="5" t="n">
        <v>1.23</v>
      </c>
      <c r="C12" s="6" t="n">
        <v>80</v>
      </c>
      <c r="D12" s="6" t="n">
        <v>30</v>
      </c>
      <c r="E12" s="6">
        <f>C12-D12</f>
        <v/>
      </c>
      <c r="F12" s="5">
        <f>B12*(1+$B$24)</f>
        <v/>
      </c>
      <c r="G12" s="5">
        <f>D12*F12</f>
        <v/>
      </c>
      <c r="H12" s="5">
        <f>F12*(1+$B$25)</f>
        <v/>
      </c>
    </row>
    <row r="13">
      <c r="A13" s="4" t="inlineStr">
        <is>
          <t>corretivo</t>
        </is>
      </c>
      <c r="B13" s="5" t="n">
        <v>1.8</v>
      </c>
      <c r="C13" s="6" t="n">
        <v>100</v>
      </c>
      <c r="D13" s="6" t="n">
        <v>47</v>
      </c>
      <c r="E13" s="6">
        <f>C13-D13</f>
        <v/>
      </c>
      <c r="F13" s="5">
        <f>B13*(1+$B$24)</f>
        <v/>
      </c>
      <c r="G13" s="5">
        <f>D13*F13</f>
        <v/>
      </c>
      <c r="H13" s="5">
        <f>F13*(1+$B$25)</f>
        <v/>
      </c>
    </row>
    <row r="14">
      <c r="A14" s="4" t="inlineStr">
        <is>
          <t>clips (caixa)</t>
        </is>
      </c>
      <c r="B14" s="5" t="n">
        <v>2.3</v>
      </c>
      <c r="C14" s="6" t="n">
        <v>70</v>
      </c>
      <c r="D14" s="6" t="n">
        <v>12</v>
      </c>
      <c r="E14" s="6">
        <f>C14-D14</f>
        <v/>
      </c>
      <c r="F14" s="5">
        <f>B14*(1+$B$24)</f>
        <v/>
      </c>
      <c r="G14" s="5">
        <f>D14*F14</f>
        <v/>
      </c>
      <c r="H14" s="5">
        <f>F14*(1+$B$25)</f>
        <v/>
      </c>
    </row>
    <row r="15">
      <c r="A15" s="4" t="inlineStr">
        <is>
          <t>lápis borracha</t>
        </is>
      </c>
      <c r="B15" s="5" t="n">
        <v>1.49</v>
      </c>
      <c r="C15" s="6" t="n">
        <v>120</v>
      </c>
      <c r="D15" s="6" t="n">
        <v>36</v>
      </c>
      <c r="E15" s="6">
        <f>C15-D15</f>
        <v/>
      </c>
      <c r="F15" s="5">
        <f>B15*(1+$B$24)</f>
        <v/>
      </c>
      <c r="G15" s="5">
        <f>D15*F15</f>
        <v/>
      </c>
      <c r="H15" s="5">
        <f>F15*(1+$B$25)</f>
        <v/>
      </c>
    </row>
    <row r="16">
      <c r="A16" s="4" t="inlineStr">
        <is>
          <t>caneta fluorescente</t>
        </is>
      </c>
      <c r="B16" s="5" t="n">
        <v>0.6</v>
      </c>
      <c r="C16" s="6" t="n">
        <v>250</v>
      </c>
      <c r="D16" s="6" t="n">
        <v>180</v>
      </c>
      <c r="E16" s="6">
        <f>C16-D16</f>
        <v/>
      </c>
      <c r="F16" s="5">
        <f>B16*(1+$B$24)</f>
        <v/>
      </c>
      <c r="G16" s="5">
        <f>D16*F16</f>
        <v/>
      </c>
      <c r="H16" s="5">
        <f>F16*(1+$B$25)</f>
        <v/>
      </c>
    </row>
    <row r="17">
      <c r="A17" s="4" t="inlineStr">
        <is>
          <t>bloco de anotações</t>
        </is>
      </c>
      <c r="B17" s="5" t="n">
        <v>0.9</v>
      </c>
      <c r="C17" s="6" t="n">
        <v>30</v>
      </c>
      <c r="D17" s="6" t="n">
        <v>7</v>
      </c>
      <c r="E17" s="6">
        <f>C17-D17</f>
        <v/>
      </c>
      <c r="F17" s="5">
        <f>B17*(1+$B$24)</f>
        <v/>
      </c>
      <c r="G17" s="5">
        <f>D17*F17</f>
        <v/>
      </c>
      <c r="H17" s="5">
        <f>F17*(1+$B$25)</f>
        <v/>
      </c>
    </row>
    <row r="18">
      <c r="A18" s="4" t="inlineStr">
        <is>
          <t>estojo</t>
        </is>
      </c>
      <c r="B18" s="5" t="n">
        <v>1.8</v>
      </c>
      <c r="C18" s="6" t="n">
        <v>90</v>
      </c>
      <c r="D18" s="6" t="n">
        <v>65</v>
      </c>
      <c r="E18" s="6">
        <f>C18-D18</f>
        <v/>
      </c>
      <c r="F18" s="5">
        <f>B18*(1+$B$24)</f>
        <v/>
      </c>
      <c r="G18" s="5">
        <f>D18*F18</f>
        <v/>
      </c>
      <c r="H18" s="5">
        <f>F18*(1+$B$25)</f>
        <v/>
      </c>
    </row>
    <row r="19">
      <c r="A19" s="4" t="inlineStr">
        <is>
          <t>caderno de brochura (80 fls.)</t>
        </is>
      </c>
      <c r="B19" s="5" t="n">
        <v>2.1</v>
      </c>
      <c r="C19" s="6" t="n">
        <v>500</v>
      </c>
      <c r="D19" s="6" t="n">
        <v>420</v>
      </c>
      <c r="E19" s="6">
        <f>C19-D19</f>
        <v/>
      </c>
      <c r="F19" s="5">
        <f>B19*(1+$B$24)</f>
        <v/>
      </c>
      <c r="G19" s="5">
        <f>D19*F19</f>
        <v/>
      </c>
      <c r="H19" s="5">
        <f>F19*(1+$B$25)</f>
        <v/>
      </c>
    </row>
    <row r="20">
      <c r="A20" s="4" t="inlineStr">
        <is>
          <t>caderno de brochura (200fls.)</t>
        </is>
      </c>
      <c r="B20" s="5" t="n">
        <v>2.5</v>
      </c>
      <c r="C20" s="6" t="n">
        <v>200</v>
      </c>
      <c r="D20" s="6" t="n">
        <v>200</v>
      </c>
      <c r="E20" s="6">
        <f>C20-D20</f>
        <v/>
      </c>
      <c r="F20" s="5">
        <f>B20*(1+$B$24)</f>
        <v/>
      </c>
      <c r="G20" s="5">
        <f>D20*F20</f>
        <v/>
      </c>
      <c r="H20" s="5">
        <f>F20*(1+$B$25)</f>
        <v/>
      </c>
    </row>
    <row r="21">
      <c r="A21" s="4" t="n"/>
      <c r="B21" s="5" t="n"/>
      <c r="C21" s="6" t="n"/>
      <c r="D21" s="6" t="n"/>
      <c r="E21" s="6" t="n"/>
      <c r="F21" s="5" t="n"/>
      <c r="G21" s="5" t="n"/>
      <c r="H21" s="5" t="n"/>
    </row>
    <row r="22">
      <c r="A22" s="7" t="inlineStr">
        <is>
          <t>TOTAL GERAL</t>
        </is>
      </c>
      <c r="B22" s="8" t="n"/>
      <c r="C22" s="9">
        <f>SUM(C5:C20)</f>
        <v/>
      </c>
      <c r="D22" s="9">
        <f>SUM(D5:D20)</f>
        <v/>
      </c>
      <c r="E22" s="9">
        <f>SUM(E5:E20)</f>
        <v/>
      </c>
      <c r="F22" s="8" t="n"/>
      <c r="G22" s="8">
        <f>SUM(G5:G20)</f>
        <v/>
      </c>
      <c r="H22" s="8" t="n"/>
    </row>
    <row r="24">
      <c r="A24" s="2" t="inlineStr">
        <is>
          <t>Lucro por Mercadoria</t>
        </is>
      </c>
      <c r="B24" s="10" t="n">
        <v>0.6</v>
      </c>
    </row>
    <row r="25">
      <c r="A25" s="2" t="inlineStr">
        <is>
          <t>% Aumento em Junho</t>
        </is>
      </c>
      <c r="B25" s="10" t="n">
        <v>0.1</v>
      </c>
    </row>
    <row r="27">
      <c r="A27" s="2" t="inlineStr">
        <is>
          <t>Cálculos:</t>
        </is>
      </c>
      <c r="B27" t="inlineStr">
        <is>
          <t>Estoque final = Estoque - Venda</t>
        </is>
      </c>
    </row>
    <row r="28">
      <c r="B28" t="inlineStr">
        <is>
          <t>Vl. Venda = Preço de custo + lucro da mercadoria</t>
        </is>
      </c>
    </row>
    <row r="29">
      <c r="B29" t="inlineStr">
        <is>
          <t>Vl. Venda total = Venda × Vl. Venda</t>
        </is>
      </c>
    </row>
    <row r="30">
      <c r="B30" t="inlineStr">
        <is>
          <t>Vl. Venda p/ Junho = Vl. Venda + aumento de Junho</t>
        </is>
      </c>
    </row>
  </sheetData>
  <autoFilter ref="A4:H20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2026-09-01T16:25:41Z</dcterms:created>
  <dcterms:modified xmlns:dcterms="http://purl.org/dc/terms/" xmlns:xsi="http://www.w3.org/2001/XMLSchema-instance" xsi:type="dcterms:W3CDTF">2026-09-01T16:25:41Z</dcterms:modified>
</cp:coreProperties>
</file>